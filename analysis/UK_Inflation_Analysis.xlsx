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rva JV\Documents\GitHub\UK-Inflation-Tracker\analysis\"/>
    </mc:Choice>
  </mc:AlternateContent>
  <xr:revisionPtr revIDLastSave="0" documentId="13_ncr:1_{9DDC516B-7F7F-4CAC-9141-FE354F6B7C5F}" xr6:coauthVersionLast="47" xr6:coauthVersionMax="47" xr10:uidLastSave="{00000000-0000-0000-0000-000000000000}"/>
  <bookViews>
    <workbookView xWindow="-108" yWindow="-108" windowWidth="23256" windowHeight="12456" activeTab="2" xr2:uid="{F829807F-E675-4258-B921-BB8B5220F5FE}"/>
  </bookViews>
  <sheets>
    <sheet name="Data" sheetId="2" r:id="rId1"/>
    <sheet name="Analysis" sheetId="3" r:id="rId2"/>
    <sheet name="Dashboar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C10" i="3"/>
  <c r="C12" i="3"/>
  <c r="C11" i="3"/>
  <c r="C9" i="3"/>
  <c r="C6" i="3"/>
  <c r="C4" i="2"/>
  <c r="C5" i="2"/>
  <c r="C6" i="2"/>
  <c r="C7" i="2"/>
  <c r="C8" i="2"/>
  <c r="C9" i="2"/>
  <c r="C10" i="2"/>
  <c r="C11" i="2"/>
  <c r="C3" i="2"/>
  <c r="C8" i="3"/>
  <c r="C7" i="3"/>
  <c r="C5" i="3"/>
  <c r="F6" i="4" s="1"/>
  <c r="C4" i="3"/>
  <c r="C6" i="4" s="1"/>
  <c r="C13" i="3" l="1"/>
</calcChain>
</file>

<file path=xl/sharedStrings.xml><?xml version="1.0" encoding="utf-8"?>
<sst xmlns="http://schemas.openxmlformats.org/spreadsheetml/2006/main" count="33" uniqueCount="31">
  <si>
    <t>%</t>
  </si>
  <si>
    <t>Year</t>
  </si>
  <si>
    <t>CPI Inflation Rate (%)</t>
  </si>
  <si>
    <t>UK Inflation Analysis</t>
  </si>
  <si>
    <t>Metric</t>
  </si>
  <si>
    <t>Result</t>
  </si>
  <si>
    <t>Maximum inflation</t>
  </si>
  <si>
    <t>Minimum inflation</t>
  </si>
  <si>
    <t>Inflation in 2022</t>
  </si>
  <si>
    <t>Inflation in 2024</t>
  </si>
  <si>
    <t>Average inflation</t>
  </si>
  <si>
    <t>Change from 2022 to 2024</t>
  </si>
  <si>
    <t>Change in Inflation rate (pp)</t>
  </si>
  <si>
    <t>UK Inflation Dashboard</t>
  </si>
  <si>
    <t>Peak Inflation</t>
  </si>
  <si>
    <t>Lowest Inflation</t>
  </si>
  <si>
    <t>Average Inflation</t>
  </si>
  <si>
    <t>Series: D7G7</t>
  </si>
  <si>
    <t>Dataset: MM23</t>
  </si>
  <si>
    <t>Measure: CPI annual rate, all items</t>
  </si>
  <si>
    <t>Unit: %</t>
  </si>
  <si>
    <t>Period: 2015–2024</t>
  </si>
  <si>
    <t>Source: Office for National Statistics (ONS)</t>
  </si>
  <si>
    <t xml:space="preserve">Median inflation </t>
  </si>
  <si>
    <t>Standard deviation</t>
  </si>
  <si>
    <t xml:space="preserve">Largest annual increase </t>
  </si>
  <si>
    <t>Largest annual decrease</t>
  </si>
  <si>
    <t>Insights:</t>
  </si>
  <si>
    <t>Inflation peaked at 9.1% in 2022, representing the highest rate in the period analysed.</t>
  </si>
  <si>
    <t>Following the 2022 peak, inflation declined to 7.3% in 2023 and 2.5% in 2024.</t>
  </si>
  <si>
    <t>Inflation declined by 6.6 percentage points between 2022 and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</si>
</sst>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Segoe UI Semibold"/>
      <family val="2"/>
    </font>
    <font>
      <sz val="10"/>
      <color theme="1"/>
      <name val="Aptos Narrow"/>
      <family val="2"/>
      <scheme val="minor"/>
    </font>
    <font>
      <sz val="10"/>
      <color theme="1"/>
      <name val="Segoe UI Semibold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0" fillId="0" borderId="10" xfId="0" applyFont="1" applyBorder="1"/>
    <xf numFmtId="0" fontId="20" fillId="0" borderId="0" xfId="0" applyFont="1"/>
    <xf numFmtId="0" fontId="21" fillId="0" borderId="10" xfId="0" applyFont="1" applyBorder="1" applyAlignment="1">
      <alignment horizontal="center" vertical="top"/>
    </xf>
    <xf numFmtId="0" fontId="0" fillId="0" borderId="0" xfId="0" applyBorder="1"/>
    <xf numFmtId="0" fontId="18" fillId="0" borderId="0" xfId="0" applyFont="1" applyBorder="1" applyAlignment="1">
      <alignment vertical="center"/>
    </xf>
    <xf numFmtId="2" fontId="18" fillId="0" borderId="0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vertical="top"/>
    </xf>
    <xf numFmtId="0" fontId="0" fillId="33" borderId="0" xfId="0" applyFill="1" applyBorder="1"/>
    <xf numFmtId="0" fontId="23" fillId="33" borderId="0" xfId="0" applyFont="1" applyFill="1" applyBorder="1"/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2" fontId="18" fillId="33" borderId="16" xfId="0" applyNumberFormat="1" applyFont="1" applyFill="1" applyBorder="1" applyAlignment="1">
      <alignment horizontal="right" vertical="center"/>
    </xf>
    <xf numFmtId="0" fontId="18" fillId="33" borderId="17" xfId="0" applyFont="1" applyFill="1" applyBorder="1" applyAlignment="1">
      <alignment vertical="center"/>
    </xf>
    <xf numFmtId="0" fontId="18" fillId="33" borderId="18" xfId="0" applyFont="1" applyFill="1" applyBorder="1" applyAlignment="1">
      <alignment vertical="top"/>
    </xf>
    <xf numFmtId="0" fontId="18" fillId="33" borderId="19" xfId="0" applyFont="1" applyFill="1" applyBorder="1" applyAlignment="1">
      <alignment vertical="top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left"/>
    </xf>
    <xf numFmtId="0" fontId="18" fillId="33" borderId="19" xfId="0" applyFont="1" applyFill="1" applyBorder="1" applyAlignment="1">
      <alignment horizontal="left"/>
    </xf>
    <xf numFmtId="0" fontId="18" fillId="33" borderId="14" xfId="0" applyFont="1" applyFill="1" applyBorder="1" applyAlignment="1">
      <alignment horizontal="right" vertical="center"/>
    </xf>
    <xf numFmtId="0" fontId="18" fillId="33" borderId="15" xfId="0" applyFont="1" applyFill="1" applyBorder="1" applyAlignment="1">
      <alignment horizontal="right" vertical="center"/>
    </xf>
    <xf numFmtId="0" fontId="0" fillId="33" borderId="14" xfId="0" applyFill="1" applyBorder="1"/>
    <xf numFmtId="0" fontId="22" fillId="33" borderId="20" xfId="0" applyFont="1" applyFill="1" applyBorder="1" applyAlignment="1">
      <alignment vertical="center"/>
    </xf>
    <xf numFmtId="0" fontId="0" fillId="33" borderId="20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21" xfId="0" applyFill="1" applyBorder="1"/>
    <xf numFmtId="0" fontId="0" fillId="33" borderId="19" xfId="0" applyFill="1" applyBorder="1"/>
    <xf numFmtId="0" fontId="20" fillId="0" borderId="14" xfId="0" applyFont="1" applyBorder="1"/>
    <xf numFmtId="0" fontId="20" fillId="0" borderId="20" xfId="0" applyFont="1" applyBorder="1"/>
    <xf numFmtId="0" fontId="21" fillId="0" borderId="20" xfId="0" applyFont="1" applyBorder="1"/>
    <xf numFmtId="0" fontId="20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UK CPI Inflation Rate (2015-2024)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97667320696292"/>
          <c:y val="0.12458130054668462"/>
          <c:w val="0.84839211409060455"/>
          <c:h val="0.7108853409019154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Data!$B$2:$B$11</c:f>
              <c:numCache>
                <c:formatCode>0.0</c:formatCode>
                <c:ptCount val="10"/>
                <c:pt idx="0">
                  <c:v>0</c:v>
                </c:pt>
                <c:pt idx="1">
                  <c:v>0.7</c:v>
                </c:pt>
                <c:pt idx="2">
                  <c:v>2.7</c:v>
                </c:pt>
                <c:pt idx="3">
                  <c:v>2.5</c:v>
                </c:pt>
                <c:pt idx="4">
                  <c:v>1.8</c:v>
                </c:pt>
                <c:pt idx="5">
                  <c:v>0.9</c:v>
                </c:pt>
                <c:pt idx="6">
                  <c:v>2.6</c:v>
                </c:pt>
                <c:pt idx="7">
                  <c:v>9.1</c:v>
                </c:pt>
                <c:pt idx="8">
                  <c:v>7.3</c:v>
                </c:pt>
                <c:pt idx="9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D-46EA-910A-24D53BCB8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088367"/>
        <c:axId val="658903375"/>
      </c:scatterChart>
      <c:valAx>
        <c:axId val="92708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03375"/>
        <c:crosses val="autoZero"/>
        <c:crossBetween val="midCat"/>
      </c:valAx>
      <c:valAx>
        <c:axId val="65890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5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50"/>
                  <a:t>Inflation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5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88367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167268</xdr:colOff>
      <xdr:row>7</xdr:row>
      <xdr:rowOff>148683</xdr:rowOff>
    </xdr:from>
    <xdr:to>
      <xdr:col>10</xdr:col>
      <xdr:colOff>548268</xdr:colOff>
      <xdr:row>25</xdr:row>
      <xdr:rowOff>176561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BB2A5-E6DB-413A-85B7-8CFCC2F33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8C1E-39D1-4777-B26F-9B0CE20B138C}">
  <dimension ref="A1:C18"/>
  <sheetViews>
    <sheetView workbookViewId="0">
      <selection activeCell="G12" sqref="G12"/>
    </sheetView>
  </sheetViews>
  <sheetFormatPr defaultRowHeight="14.4" x14ac:dyDescent="0.3"/>
  <cols>
    <col min="2" max="2" width="17.77734375" bestFit="1" customWidth="1"/>
  </cols>
  <sheetData>
    <row r="1" spans="1:3" x14ac:dyDescent="0.3">
      <c r="A1" t="s">
        <v>1</v>
      </c>
      <c r="B1" t="s">
        <v>2</v>
      </c>
      <c r="C1" t="s">
        <v>12</v>
      </c>
    </row>
    <row r="2" spans="1:3" x14ac:dyDescent="0.3">
      <c r="A2">
        <v>2015</v>
      </c>
      <c r="B2" s="2">
        <v>0</v>
      </c>
    </row>
    <row r="3" spans="1:3" x14ac:dyDescent="0.3">
      <c r="A3">
        <v>2016</v>
      </c>
      <c r="B3" s="2">
        <v>0.7</v>
      </c>
      <c r="C3" s="2">
        <f>B3-B2</f>
        <v>0.7</v>
      </c>
    </row>
    <row r="4" spans="1:3" x14ac:dyDescent="0.3">
      <c r="A4">
        <v>2017</v>
      </c>
      <c r="B4" s="2">
        <v>2.7</v>
      </c>
      <c r="C4" s="2">
        <f t="shared" ref="C4:C11" si="0">B4-B3</f>
        <v>2</v>
      </c>
    </row>
    <row r="5" spans="1:3" x14ac:dyDescent="0.3">
      <c r="A5">
        <v>2018</v>
      </c>
      <c r="B5" s="2">
        <v>2.5</v>
      </c>
      <c r="C5" s="2">
        <f t="shared" si="0"/>
        <v>-0.20000000000000018</v>
      </c>
    </row>
    <row r="6" spans="1:3" x14ac:dyDescent="0.3">
      <c r="A6">
        <v>2019</v>
      </c>
      <c r="B6" s="2">
        <v>1.8</v>
      </c>
      <c r="C6" s="2">
        <f t="shared" si="0"/>
        <v>-0.7</v>
      </c>
    </row>
    <row r="7" spans="1:3" x14ac:dyDescent="0.3">
      <c r="A7">
        <v>2020</v>
      </c>
      <c r="B7" s="2">
        <v>0.9</v>
      </c>
      <c r="C7" s="2">
        <f t="shared" si="0"/>
        <v>-0.9</v>
      </c>
    </row>
    <row r="8" spans="1:3" x14ac:dyDescent="0.3">
      <c r="A8">
        <v>2021</v>
      </c>
      <c r="B8" s="2">
        <v>2.6</v>
      </c>
      <c r="C8" s="2">
        <f t="shared" si="0"/>
        <v>1.7000000000000002</v>
      </c>
    </row>
    <row r="9" spans="1:3" x14ac:dyDescent="0.3">
      <c r="A9">
        <v>2022</v>
      </c>
      <c r="B9" s="2">
        <v>9.1</v>
      </c>
      <c r="C9" s="2">
        <f t="shared" si="0"/>
        <v>6.5</v>
      </c>
    </row>
    <row r="10" spans="1:3" x14ac:dyDescent="0.3">
      <c r="A10">
        <v>2023</v>
      </c>
      <c r="B10" s="2">
        <v>7.3</v>
      </c>
      <c r="C10" s="2">
        <f t="shared" si="0"/>
        <v>-1.7999999999999998</v>
      </c>
    </row>
    <row r="11" spans="1:3" x14ac:dyDescent="0.3">
      <c r="A11">
        <v>2024</v>
      </c>
      <c r="B11" s="2">
        <v>2.5</v>
      </c>
      <c r="C11" s="2">
        <f t="shared" si="0"/>
        <v>-4.8</v>
      </c>
    </row>
    <row r="13" spans="1:3" x14ac:dyDescent="0.3">
      <c r="A13" t="s">
        <v>22</v>
      </c>
    </row>
    <row r="14" spans="1:3" x14ac:dyDescent="0.3">
      <c r="A14" t="s">
        <v>17</v>
      </c>
    </row>
    <row r="15" spans="1:3" x14ac:dyDescent="0.3">
      <c r="A15" t="s">
        <v>18</v>
      </c>
    </row>
    <row r="16" spans="1:3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2940-31E5-40F6-99E9-F2EBCA2306AF}">
  <dimension ref="A1:C13"/>
  <sheetViews>
    <sheetView workbookViewId="0">
      <selection activeCell="E4" sqref="E4"/>
    </sheetView>
  </sheetViews>
  <sheetFormatPr defaultRowHeight="14.4" x14ac:dyDescent="0.3"/>
  <cols>
    <col min="1" max="1" width="22.109375" bestFit="1" customWidth="1"/>
  </cols>
  <sheetData>
    <row r="1" spans="1:3" x14ac:dyDescent="0.3">
      <c r="A1" t="s">
        <v>3</v>
      </c>
    </row>
    <row r="3" spans="1:3" x14ac:dyDescent="0.3">
      <c r="A3" t="s">
        <v>4</v>
      </c>
      <c r="C3" t="s">
        <v>5</v>
      </c>
    </row>
    <row r="4" spans="1:3" x14ac:dyDescent="0.3">
      <c r="A4" t="s">
        <v>10</v>
      </c>
      <c r="C4" s="1">
        <f>AVERAGE(Data!B2:B11)</f>
        <v>3.01</v>
      </c>
    </row>
    <row r="5" spans="1:3" x14ac:dyDescent="0.3">
      <c r="A5" t="s">
        <v>6</v>
      </c>
      <c r="C5" s="1">
        <f>MAX(Data!B2:B11)</f>
        <v>9.1</v>
      </c>
    </row>
    <row r="6" spans="1:3" x14ac:dyDescent="0.3">
      <c r="A6" t="s">
        <v>7</v>
      </c>
      <c r="C6" s="1">
        <f>MIN(Data!B3:B11)</f>
        <v>0.7</v>
      </c>
    </row>
    <row r="7" spans="1:3" x14ac:dyDescent="0.3">
      <c r="A7" t="s">
        <v>8</v>
      </c>
      <c r="C7">
        <f>_xlfn.XLOOKUP(2022,Data!A2:A11,Data!B2:B11)</f>
        <v>9.1</v>
      </c>
    </row>
    <row r="8" spans="1:3" x14ac:dyDescent="0.3">
      <c r="A8" t="s">
        <v>9</v>
      </c>
      <c r="C8">
        <f>_xlfn.XLOOKUP(2024,Data!A2:A11,Data!B2:B11)</f>
        <v>2.5</v>
      </c>
    </row>
    <row r="9" spans="1:3" x14ac:dyDescent="0.3">
      <c r="A9" t="s">
        <v>23</v>
      </c>
      <c r="C9">
        <f>MEDIAN(Data!B2:B11)</f>
        <v>2.5</v>
      </c>
    </row>
    <row r="10" spans="1:3" x14ac:dyDescent="0.3">
      <c r="A10" t="s">
        <v>24</v>
      </c>
      <c r="C10">
        <f>DEVSQ(Data!B2:B11)</f>
        <v>76.588999999999984</v>
      </c>
    </row>
    <row r="11" spans="1:3" x14ac:dyDescent="0.3">
      <c r="A11" t="s">
        <v>25</v>
      </c>
      <c r="C11">
        <f>MAX(Data!C3:C11)</f>
        <v>6.5</v>
      </c>
    </row>
    <row r="12" spans="1:3" x14ac:dyDescent="0.3">
      <c r="A12" t="s">
        <v>26</v>
      </c>
      <c r="C12">
        <f>MIN(Data!C3:C11)</f>
        <v>-4.8</v>
      </c>
    </row>
    <row r="13" spans="1:3" x14ac:dyDescent="0.3">
      <c r="A13" t="s">
        <v>11</v>
      </c>
      <c r="C13">
        <f>C8-C7</f>
        <v>-6.6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0F5B-AA1D-4803-9D80-46DAAEBFEC46}">
  <dimension ref="A1:L33"/>
  <sheetViews>
    <sheetView showGridLines="0" tabSelected="1" zoomScale="82" workbookViewId="0">
      <selection activeCell="P22" sqref="P22"/>
    </sheetView>
  </sheetViews>
  <sheetFormatPr defaultRowHeight="14.4" x14ac:dyDescent="0.3"/>
  <sheetData>
    <row r="1" spans="1:12" s="4" customFormat="1" ht="15" x14ac:dyDescent="0.3">
      <c r="C1" s="3"/>
      <c r="D1" s="5"/>
      <c r="E1" s="5"/>
      <c r="F1" s="5"/>
      <c r="G1" s="5"/>
      <c r="H1" s="5"/>
      <c r="I1" s="3"/>
      <c r="J1" s="3"/>
      <c r="K1" s="3"/>
    </row>
    <row r="2" spans="1:12" s="4" customFormat="1" ht="15" x14ac:dyDescent="0.35">
      <c r="A2" s="34"/>
      <c r="B2" s="35"/>
      <c r="C2" s="35"/>
      <c r="D2" s="35"/>
      <c r="E2" s="36"/>
      <c r="F2" s="36"/>
      <c r="G2" s="36"/>
      <c r="H2" s="36"/>
      <c r="I2" s="36"/>
      <c r="J2" s="35"/>
      <c r="K2" s="35"/>
      <c r="L2" s="37"/>
    </row>
    <row r="3" spans="1:12" ht="27" x14ac:dyDescent="0.6">
      <c r="A3" s="38"/>
      <c r="B3" s="6"/>
      <c r="C3" s="6"/>
      <c r="D3" s="12" t="s">
        <v>13</v>
      </c>
      <c r="E3" s="13"/>
      <c r="F3" s="13"/>
      <c r="G3" s="13"/>
      <c r="H3" s="13"/>
      <c r="I3" s="14"/>
      <c r="J3" s="6"/>
      <c r="K3" s="6"/>
      <c r="L3" s="39"/>
    </row>
    <row r="4" spans="1:12" x14ac:dyDescent="0.3">
      <c r="A4" s="38"/>
      <c r="B4" s="6"/>
      <c r="C4" s="6"/>
      <c r="D4" s="6"/>
      <c r="E4" s="6"/>
      <c r="F4" s="6"/>
      <c r="G4" s="6"/>
      <c r="H4" s="6"/>
      <c r="I4" s="6"/>
      <c r="J4" s="6"/>
      <c r="K4" s="6"/>
      <c r="L4" s="39"/>
    </row>
    <row r="5" spans="1:12" ht="14.4" customHeight="1" x14ac:dyDescent="0.3">
      <c r="A5" s="38"/>
      <c r="B5" s="6"/>
      <c r="C5" s="23" t="s">
        <v>16</v>
      </c>
      <c r="D5" s="24"/>
      <c r="E5" s="6"/>
      <c r="F5" s="19" t="s">
        <v>14</v>
      </c>
      <c r="G5" s="20"/>
      <c r="H5" s="7"/>
      <c r="I5" s="19" t="s">
        <v>15</v>
      </c>
      <c r="J5" s="20"/>
      <c r="K5" s="6"/>
      <c r="L5" s="39"/>
    </row>
    <row r="6" spans="1:12" ht="14.4" customHeight="1" x14ac:dyDescent="0.3">
      <c r="A6" s="38"/>
      <c r="B6" s="6"/>
      <c r="C6" s="15">
        <f>Analysis!C4</f>
        <v>3.01</v>
      </c>
      <c r="D6" s="16" t="s">
        <v>0</v>
      </c>
      <c r="E6" s="6"/>
      <c r="F6" s="15">
        <f>Analysis!C5</f>
        <v>9.1</v>
      </c>
      <c r="G6" s="16" t="s">
        <v>0</v>
      </c>
      <c r="H6" s="8"/>
      <c r="I6" s="15">
        <f>Analysis!C6</f>
        <v>0.7</v>
      </c>
      <c r="J6" s="16" t="s">
        <v>0</v>
      </c>
      <c r="K6" s="6"/>
      <c r="L6" s="39"/>
    </row>
    <row r="7" spans="1:12" ht="14.4" customHeight="1" x14ac:dyDescent="0.35">
      <c r="A7" s="38"/>
      <c r="B7" s="6"/>
      <c r="C7" s="17"/>
      <c r="D7" s="18"/>
      <c r="E7" s="6"/>
      <c r="F7" s="21"/>
      <c r="G7" s="22"/>
      <c r="H7" s="9"/>
      <c r="I7" s="17"/>
      <c r="J7" s="18"/>
      <c r="K7" s="6"/>
      <c r="L7" s="39"/>
    </row>
    <row r="8" spans="1:12" x14ac:dyDescent="0.3">
      <c r="A8" s="38"/>
      <c r="B8" s="6"/>
      <c r="C8" s="6"/>
      <c r="D8" s="6"/>
      <c r="E8" s="6"/>
      <c r="F8" s="6"/>
      <c r="G8" s="6"/>
      <c r="H8" s="6"/>
      <c r="I8" s="6"/>
      <c r="J8" s="6"/>
      <c r="K8" s="6"/>
      <c r="L8" s="39"/>
    </row>
    <row r="9" spans="1:12" ht="14.4" customHeight="1" x14ac:dyDescent="0.3">
      <c r="A9" s="38"/>
      <c r="B9" s="6"/>
      <c r="C9" s="6"/>
      <c r="D9" s="6"/>
      <c r="E9" s="6"/>
      <c r="F9" s="6"/>
      <c r="G9" s="6"/>
      <c r="H9" s="6"/>
      <c r="I9" s="6"/>
      <c r="J9" s="6"/>
      <c r="K9" s="6"/>
      <c r="L9" s="39"/>
    </row>
    <row r="10" spans="1:12" ht="14.4" customHeight="1" x14ac:dyDescent="0.3">
      <c r="A10" s="38"/>
      <c r="B10" s="6"/>
      <c r="C10" s="6"/>
      <c r="D10" s="6"/>
      <c r="E10" s="6"/>
      <c r="F10" s="6"/>
      <c r="G10" s="6"/>
      <c r="H10" s="6"/>
      <c r="I10" s="6"/>
      <c r="J10" s="6"/>
      <c r="K10" s="6"/>
      <c r="L10" s="39"/>
    </row>
    <row r="11" spans="1:12" ht="14.4" customHeight="1" x14ac:dyDescent="0.3">
      <c r="A11" s="38"/>
      <c r="B11" s="6"/>
      <c r="C11" s="6"/>
      <c r="D11" s="6"/>
      <c r="E11" s="6"/>
      <c r="F11" s="6"/>
      <c r="G11" s="6"/>
      <c r="H11" s="6"/>
      <c r="I11" s="6"/>
      <c r="J11" s="6"/>
      <c r="K11" s="6"/>
      <c r="L11" s="39"/>
    </row>
    <row r="12" spans="1:12" x14ac:dyDescent="0.3">
      <c r="A12" s="38"/>
      <c r="B12" s="6"/>
      <c r="C12" s="6"/>
      <c r="D12" s="6"/>
      <c r="E12" s="6"/>
      <c r="F12" s="6"/>
      <c r="G12" s="6"/>
      <c r="H12" s="6"/>
      <c r="I12" s="6"/>
      <c r="J12" s="6"/>
      <c r="K12" s="6"/>
      <c r="L12" s="39"/>
    </row>
    <row r="13" spans="1:12" x14ac:dyDescent="0.3">
      <c r="A13" s="38"/>
      <c r="B13" s="6"/>
      <c r="C13" s="6"/>
      <c r="D13" s="6"/>
      <c r="E13" s="6"/>
      <c r="F13" s="6"/>
      <c r="G13" s="6"/>
      <c r="H13" s="6"/>
      <c r="I13" s="6"/>
      <c r="J13" s="6"/>
      <c r="K13" s="6"/>
      <c r="L13" s="39"/>
    </row>
    <row r="14" spans="1:12" x14ac:dyDescent="0.3">
      <c r="A14" s="38"/>
      <c r="B14" s="6"/>
      <c r="C14" s="6"/>
      <c r="D14" s="6"/>
      <c r="E14" s="6"/>
      <c r="F14" s="6"/>
      <c r="G14" s="6"/>
      <c r="H14" s="6"/>
      <c r="I14" s="6"/>
      <c r="J14" s="6"/>
      <c r="K14" s="6"/>
      <c r="L14" s="39"/>
    </row>
    <row r="15" spans="1:12" x14ac:dyDescent="0.3">
      <c r="A15" s="38"/>
      <c r="B15" s="6"/>
      <c r="C15" s="6"/>
      <c r="D15" s="6"/>
      <c r="E15" s="6"/>
      <c r="F15" s="6"/>
      <c r="G15" s="6"/>
      <c r="H15" s="6"/>
      <c r="I15" s="6"/>
      <c r="J15" s="6"/>
      <c r="K15" s="6"/>
      <c r="L15" s="39"/>
    </row>
    <row r="16" spans="1:12" x14ac:dyDescent="0.3">
      <c r="A16" s="38"/>
      <c r="B16" s="6"/>
      <c r="C16" s="6"/>
      <c r="D16" s="6"/>
      <c r="E16" s="6"/>
      <c r="F16" s="6"/>
      <c r="G16" s="6"/>
      <c r="H16" s="6"/>
      <c r="I16" s="6"/>
      <c r="J16" s="6"/>
      <c r="K16" s="6"/>
      <c r="L16" s="39"/>
    </row>
    <row r="17" spans="1:12" x14ac:dyDescent="0.3">
      <c r="A17" s="38"/>
      <c r="B17" s="6"/>
      <c r="C17" s="6"/>
      <c r="D17" s="6"/>
      <c r="E17" s="6"/>
      <c r="F17" s="6"/>
      <c r="G17" s="6"/>
      <c r="H17" s="6"/>
      <c r="I17" s="6"/>
      <c r="J17" s="6"/>
      <c r="K17" s="6"/>
      <c r="L17" s="39"/>
    </row>
    <row r="18" spans="1:12" x14ac:dyDescent="0.3">
      <c r="A18" s="38"/>
      <c r="B18" s="6"/>
      <c r="C18" s="6"/>
      <c r="D18" s="6"/>
      <c r="E18" s="6"/>
      <c r="F18" s="6"/>
      <c r="G18" s="6"/>
      <c r="H18" s="6"/>
      <c r="I18" s="6"/>
      <c r="J18" s="6"/>
      <c r="K18" s="6"/>
      <c r="L18" s="39"/>
    </row>
    <row r="19" spans="1:12" x14ac:dyDescent="0.3">
      <c r="A19" s="38"/>
      <c r="B19" s="6"/>
      <c r="C19" s="6"/>
      <c r="D19" s="6"/>
      <c r="E19" s="6"/>
      <c r="F19" s="6"/>
      <c r="G19" s="6"/>
      <c r="H19" s="6"/>
      <c r="I19" s="6"/>
      <c r="J19" s="6"/>
      <c r="K19" s="6"/>
      <c r="L19" s="39"/>
    </row>
    <row r="20" spans="1:12" x14ac:dyDescent="0.3">
      <c r="A20" s="38"/>
      <c r="B20" s="6"/>
      <c r="C20" s="6"/>
      <c r="D20" s="6"/>
      <c r="E20" s="6"/>
      <c r="F20" s="6"/>
      <c r="G20" s="6"/>
      <c r="H20" s="6"/>
      <c r="I20" s="6"/>
      <c r="J20" s="6"/>
      <c r="K20" s="6"/>
      <c r="L20" s="39"/>
    </row>
    <row r="21" spans="1:12" x14ac:dyDescent="0.3">
      <c r="A21" s="38"/>
      <c r="B21" s="6"/>
      <c r="C21" s="6"/>
      <c r="D21" s="6"/>
      <c r="E21" s="6"/>
      <c r="F21" s="6"/>
      <c r="G21" s="6"/>
      <c r="H21" s="6"/>
      <c r="I21" s="6"/>
      <c r="J21" s="6"/>
      <c r="K21" s="6"/>
      <c r="L21" s="39"/>
    </row>
    <row r="22" spans="1:12" x14ac:dyDescent="0.3">
      <c r="A22" s="38"/>
      <c r="B22" s="6"/>
      <c r="C22" s="6"/>
      <c r="D22" s="6"/>
      <c r="E22" s="6"/>
      <c r="F22" s="6"/>
      <c r="G22" s="6"/>
      <c r="H22" s="6"/>
      <c r="I22" s="6"/>
      <c r="J22" s="6"/>
      <c r="K22" s="6"/>
      <c r="L22" s="39"/>
    </row>
    <row r="23" spans="1:12" x14ac:dyDescent="0.3">
      <c r="A23" s="38"/>
      <c r="B23" s="6"/>
      <c r="C23" s="6"/>
      <c r="D23" s="6"/>
      <c r="E23" s="6"/>
      <c r="F23" s="6"/>
      <c r="G23" s="6"/>
      <c r="H23" s="6"/>
      <c r="I23" s="6"/>
      <c r="J23" s="6"/>
      <c r="K23" s="6"/>
      <c r="L23" s="39"/>
    </row>
    <row r="24" spans="1:12" x14ac:dyDescent="0.3">
      <c r="A24" s="38"/>
      <c r="B24" s="6"/>
      <c r="C24" s="6"/>
      <c r="D24" s="6"/>
      <c r="E24" s="6"/>
      <c r="F24" s="6"/>
      <c r="G24" s="6"/>
      <c r="H24" s="6"/>
      <c r="I24" s="6"/>
      <c r="J24" s="6"/>
      <c r="K24" s="6"/>
      <c r="L24" s="39"/>
    </row>
    <row r="25" spans="1:12" x14ac:dyDescent="0.3">
      <c r="A25" s="38"/>
      <c r="B25" s="6"/>
      <c r="C25" s="6"/>
      <c r="D25" s="6"/>
      <c r="E25" s="6"/>
      <c r="F25" s="6"/>
      <c r="G25" s="6"/>
      <c r="H25" s="6"/>
      <c r="I25" s="6"/>
      <c r="J25" s="6"/>
      <c r="K25" s="6"/>
      <c r="L25" s="39"/>
    </row>
    <row r="26" spans="1:12" x14ac:dyDescent="0.3">
      <c r="A26" s="38"/>
      <c r="B26" s="6"/>
      <c r="C26" s="6"/>
      <c r="D26" s="6"/>
      <c r="E26" s="6"/>
      <c r="F26" s="6"/>
      <c r="G26" s="6"/>
      <c r="H26" s="6"/>
      <c r="I26" s="6"/>
      <c r="J26" s="6"/>
      <c r="K26" s="6"/>
      <c r="L26" s="39"/>
    </row>
    <row r="27" spans="1:12" x14ac:dyDescent="0.3">
      <c r="A27" s="38"/>
      <c r="B27" s="6"/>
      <c r="C27" s="6"/>
      <c r="D27" s="6"/>
      <c r="E27" s="6"/>
      <c r="F27" s="6"/>
      <c r="G27" s="6"/>
      <c r="H27" s="6"/>
      <c r="I27" s="6"/>
      <c r="J27" s="6"/>
      <c r="K27" s="6"/>
      <c r="L27" s="39"/>
    </row>
    <row r="28" spans="1:12" ht="21" x14ac:dyDescent="0.3">
      <c r="A28" s="38"/>
      <c r="B28" s="25"/>
      <c r="C28" s="26" t="s">
        <v>27</v>
      </c>
      <c r="D28" s="27"/>
      <c r="E28" s="27"/>
      <c r="F28" s="27"/>
      <c r="G28" s="27"/>
      <c r="H28" s="27"/>
      <c r="I28" s="27"/>
      <c r="J28" s="27"/>
      <c r="K28" s="28"/>
      <c r="L28" s="39"/>
    </row>
    <row r="29" spans="1:12" ht="15.6" x14ac:dyDescent="0.3">
      <c r="A29" s="38"/>
      <c r="B29" s="29"/>
      <c r="C29" s="11" t="s">
        <v>28</v>
      </c>
      <c r="D29" s="10"/>
      <c r="E29" s="10"/>
      <c r="F29" s="10"/>
      <c r="G29" s="10"/>
      <c r="H29" s="10"/>
      <c r="I29" s="10"/>
      <c r="J29" s="10"/>
      <c r="K29" s="30"/>
      <c r="L29" s="39"/>
    </row>
    <row r="30" spans="1:12" ht="15.6" x14ac:dyDescent="0.3">
      <c r="A30" s="38"/>
      <c r="B30" s="29"/>
      <c r="C30" s="11" t="s">
        <v>29</v>
      </c>
      <c r="D30" s="10"/>
      <c r="E30" s="10"/>
      <c r="F30" s="10"/>
      <c r="G30" s="10"/>
      <c r="H30" s="10"/>
      <c r="I30" s="10"/>
      <c r="J30" s="10"/>
      <c r="K30" s="30"/>
      <c r="L30" s="39"/>
    </row>
    <row r="31" spans="1:12" ht="15.6" x14ac:dyDescent="0.3">
      <c r="A31" s="38"/>
      <c r="B31" s="29"/>
      <c r="C31" s="11" t="s">
        <v>30</v>
      </c>
      <c r="D31" s="10"/>
      <c r="E31" s="10"/>
      <c r="F31" s="10"/>
      <c r="G31" s="10"/>
      <c r="H31" s="10"/>
      <c r="I31" s="10"/>
      <c r="J31" s="10"/>
      <c r="K31" s="30"/>
      <c r="L31" s="39"/>
    </row>
    <row r="32" spans="1:12" x14ac:dyDescent="0.3">
      <c r="A32" s="38"/>
      <c r="B32" s="31"/>
      <c r="C32" s="32"/>
      <c r="D32" s="32"/>
      <c r="E32" s="32"/>
      <c r="F32" s="32"/>
      <c r="G32" s="32"/>
      <c r="H32" s="32"/>
      <c r="I32" s="32"/>
      <c r="J32" s="32"/>
      <c r="K32" s="33"/>
      <c r="L32" s="39"/>
    </row>
    <row r="33" spans="1:12" x14ac:dyDescent="0.3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2"/>
    </row>
  </sheetData>
  <mergeCells count="4">
    <mergeCell ref="D3:I3"/>
    <mergeCell ref="I5:J5"/>
    <mergeCell ref="F5:G5"/>
    <mergeCell ref="C5:D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EE0553-D3C8-47C1-94D9-9708D1CBC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poorva vishwas</cp:lastModifiedBy>
  <dcterms:created xsi:type="dcterms:W3CDTF">2026-09-06T11:51:38Z</dcterms:created>
  <dcterms:modified xsi:type="dcterms:W3CDTF">2026-09-06T18:46:49Z</dcterms:modified>
</cp:coreProperties>
</file>